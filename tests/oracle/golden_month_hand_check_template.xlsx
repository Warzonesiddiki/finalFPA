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Hand Check" sheetId="1" r:id="rId1"/>
    <sheet name="Raw actuals" sheetId="2" r:id="rId2"/>
    <sheet name="Budget rows" sheetId="3" r:id="rId3"/>
    <sheet name="Forecast rows" sheetId="4" r:id="rId4"/>
  </sheet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name val="Aptos"/>
    </font>
    <font>
      <b/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/>
    <xf numFmtId="0" fontId="0" fillId="0" borderId="0" xfId="0">
      <alignment wrapText="1"/>
    </xf>
    <xf numFmtId="0" fontId="0" fillId="0" borderId="0" xfId="0"/>
    <xf numFmtId="164" fontId="0" fillId="0" borderId="0" xfId="0"/>
    <xf numFmtId="1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selection activeCell="B5" sqref="B5"/>
    </sheetView>
  </sheetViews>
  <cols>
    <col min="1" max="1" width="33" customWidth="1"/>
    <col min="2" max="2" width="22" customWidth="1"/>
    <col min="3" max="3" width="19" customWidth="1"/>
    <col min="4" max="4" width="18" customWidth="1"/>
    <col min="5" max="5" width="17" customWidth="1"/>
  </cols>
  <sheetData>
    <row r="1">
      <c r="A1" t="inlineStr" s="1">
        <is>
          <t>Golden Month — Independent Hand Check</t>
        </is>
      </c>
    </row>
    <row r="2">
      <c r="A2" t="inlineStr" s="2">
        <is>
          <t>Synthetic-only workbook. Formula source: docs/05_CALCULATION_SPEC.md. Do not use engine/API values as inputs.</t>
        </is>
      </c>
    </row>
    <row r="3">
      <c r="A3" t="inlineStr">
        <is>
          <t>Formula source</t>
        </is>
      </c>
      <c r="B3" t="inlineStr">
        <is>
          <t>docs/05_CALCULATION_SPEC.md</t>
        </is>
      </c>
    </row>
    <row r="5">
      <c r="A5" t="inlineStr" s="1">
        <is>
          <t>Period</t>
        </is>
      </c>
      <c r="B5" t="inlineStr" s="3">
        <is>
          <t>FY26-P09</t>
        </is>
      </c>
    </row>
    <row r="6">
      <c r="A6" t="inlineStr" s="1">
        <is>
          <t>Cost centre</t>
        </is>
      </c>
      <c r="B6" t="inlineStr" s="3">
        <is>
          <t>CC-100</t>
        </is>
      </c>
    </row>
    <row r="7">
      <c r="A7" t="inlineStr" s="1">
        <is>
          <t>Account</t>
        </is>
      </c>
      <c r="B7" t="inlineStr" s="3">
        <is>
          <t>5200</t>
        </is>
      </c>
    </row>
    <row r="9">
      <c r="A9" t="inlineStr" s="1">
        <is>
          <t>Actual from raw debit − credit</t>
        </is>
      </c>
      <c r="B9" s="4">
        <f>SUMIFS('Raw actuals'!$F$2:$F$1000,'Raw actuals'!$A$2:$A$1000,$B$5,'Raw actuals'!$B$2:$B$1000,$B$6,'Raw actuals'!$C$2:$C$1000,$B$7)</f>
        <v/>
      </c>
      <c r="C9" t="inlineStr" s="1">
        <is>
          <t>App actual (enter)</t>
        </is>
      </c>
      <c r="D9" t="inlineStr" s="3">
        <is>
          <t/>
        </is>
      </c>
      <c r="E9" s="3">
        <f>IF(D9="","Enter app value",IF(B9=D9,"MATCH","MISMATCH"))</f>
        <v/>
      </c>
    </row>
    <row r="10">
      <c r="A10" t="inlineStr" s="1">
        <is>
          <t>Budget from raw budget rows</t>
        </is>
      </c>
      <c r="B10" s="4">
        <f>SUMIFS('Budget rows'!$D$2:$D$1000,'Budget rows'!$A$2:$A$1000,$B$5,'Budget rows'!$B$2:$B$1000,$B$6,'Budget rows'!$C$2:$C$1000,$B$7)</f>
        <v/>
      </c>
    </row>
    <row r="11">
      <c r="A11" t="inlineStr" s="1">
        <is>
          <t>Variance = actual − budget</t>
        </is>
      </c>
      <c r="B11" s="4">
        <f>B9-B10</f>
        <v/>
      </c>
    </row>
    <row r="12">
      <c r="A12" t="inlineStr" s="1">
        <is>
          <t>Variance % (zero-budget guard)</t>
        </is>
      </c>
      <c r="B12" s="5">
        <f>IF(B10=0,IF(B9=0,"—","n/a"),B11/ABS(B10))</f>
        <v/>
      </c>
    </row>
    <row r="13">
      <c r="A13" t="inlineStr" s="1">
        <is>
          <t>Forecast from raw forecast rows</t>
        </is>
      </c>
      <c r="B13" s="4">
        <f>SUMIFS('Forecast rows'!$D$2:$D$1000,'Forecast rows'!$A$2:$A$1000,$B$5,'Forecast rows'!$B$2:$B$1000,$B$6,'Forecast rows'!$C$2:$C$1000,$B$7)</f>
        <v/>
      </c>
    </row>
    <row r="14">
      <c r="A14" t="inlineStr" s="1">
        <is>
          <t>Actual − forecast</t>
        </is>
      </c>
      <c r="B14" s="4">
        <f>B9-B13</f>
        <v/>
      </c>
    </row>
    <row r="16">
      <c r="A16" t="inlineStr" s="1">
        <is>
          <t>Gate reviewer</t>
        </is>
      </c>
      <c r="B16" t="inlineStr" s="3">
        <is>
          <t>Enter name/date</t>
        </is>
      </c>
    </row>
    <row r="17">
      <c r="A17" t="inlineStr" s="1">
        <is>
          <t>Result / mismatch classification</t>
        </is>
      </c>
      <c r="B17" t="inlineStr" s="3">
        <is>
          <t>Enter result; mismatches block the gate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selection activeCell="B5" sqref="B5"/>
    </sheetView>
  </sheetViews>
  <cols>
    <col min="1" max="1" width="15" customWidth="1"/>
    <col min="2" max="2" width="16" customWidth="1"/>
    <col min="3" max="3" width="13" customWidth="1"/>
    <col min="4" max="4" width="14" customWidth="1"/>
    <col min="5" max="5" width="14" customWidth="1"/>
    <col min="6" max="6" width="28" customWidth="1"/>
  </cols>
  <sheetData>
    <row r="1">
      <c r="A1" t="inlineStr" s="1">
        <is>
          <t>Period</t>
        </is>
      </c>
      <c r="B1" t="inlineStr" s="1">
        <is>
          <t>CostCenter</t>
        </is>
      </c>
      <c r="C1" t="inlineStr" s="1">
        <is>
          <t>Account</t>
        </is>
      </c>
      <c r="D1" t="inlineStr" s="1">
        <is>
          <t>Debit</t>
        </is>
      </c>
      <c r="E1" t="inlineStr" s="1">
        <is>
          <t>Credit</t>
        </is>
      </c>
      <c r="F1" t="inlineStr" s="1">
        <is>
          <t>Net actual = Debit − Credit</t>
        </is>
      </c>
    </row>
    <row r="2">
      <c r="A2" t="inlineStr">
        <is>
          <t>FY26-P09</t>
        </is>
      </c>
      <c r="B2" t="inlineStr">
        <is>
          <t>CC-100</t>
        </is>
      </c>
      <c r="C2" t="inlineStr">
        <is>
          <t>5200</t>
        </is>
      </c>
      <c r="D2" s="4">
        <v>1200</v>
      </c>
      <c r="E2" s="4">
        <v>0</v>
      </c>
      <c r="F2" s="4">
        <f>D2-E2</f>
        <v/>
      </c>
    </row>
    <row r="3">
      <c r="A3" t="inlineStr">
        <is>
          <t>FY26-P09</t>
        </is>
      </c>
      <c r="B3" t="inlineStr">
        <is>
          <t>CC-100</t>
        </is>
      </c>
      <c r="C3" t="inlineStr">
        <is>
          <t>5200</t>
        </is>
      </c>
      <c r="D3" s="4">
        <v>300</v>
      </c>
      <c r="E3" s="4">
        <v>0</v>
      </c>
      <c r="F3" s="4">
        <f>D3-E3</f>
        <v/>
      </c>
    </row>
    <row r="4">
      <c r="A4" t="inlineStr">
        <is>
          <t>FY26-P09</t>
        </is>
      </c>
      <c r="B4" t="inlineStr">
        <is>
          <t>CC-100</t>
        </is>
      </c>
      <c r="C4" t="inlineStr">
        <is>
          <t>5200</t>
        </is>
      </c>
      <c r="D4" s="4">
        <v>0</v>
      </c>
      <c r="E4" s="4">
        <v>100</v>
      </c>
      <c r="F4" s="4">
        <f>D4-E4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workbookViewId="0">
      <selection activeCell="B5" sqref="B5"/>
    </sheetView>
  </sheetViews>
  <cols>
    <col min="1" max="1" width="15" customWidth="1"/>
    <col min="2" max="2" width="16" customWidth="1"/>
    <col min="3" max="3" width="13" customWidth="1"/>
    <col min="4" max="4" width="16" customWidth="1"/>
  </cols>
  <sheetData>
    <row r="1">
      <c r="A1" t="inlineStr" s="1">
        <is>
          <t>Period</t>
        </is>
      </c>
      <c r="B1" t="inlineStr" s="1">
        <is>
          <t>CostCenter</t>
        </is>
      </c>
      <c r="C1" t="inlineStr" s="1">
        <is>
          <t>Account</t>
        </is>
      </c>
      <c r="D1" t="inlineStr" s="1">
        <is>
          <t>Budget amount</t>
        </is>
      </c>
    </row>
    <row r="2">
      <c r="A2" t="inlineStr">
        <is>
          <t>FY26-P09</t>
        </is>
      </c>
      <c r="B2" t="inlineStr">
        <is>
          <t>CC-100</t>
        </is>
      </c>
      <c r="C2" t="inlineStr">
        <is>
          <t>5200</t>
        </is>
      </c>
      <c r="D2" s="4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workbookViewId="0">
      <selection activeCell="B5" sqref="B5"/>
    </sheetView>
  </sheetViews>
  <cols>
    <col min="1" max="1" width="15" customWidth="1"/>
    <col min="2" max="2" width="16" customWidth="1"/>
    <col min="3" max="3" width="13" customWidth="1"/>
    <col min="4" max="4" width="17" customWidth="1"/>
  </cols>
  <sheetData>
    <row r="1">
      <c r="A1" t="inlineStr" s="1">
        <is>
          <t>Period</t>
        </is>
      </c>
      <c r="B1" t="inlineStr" s="1">
        <is>
          <t>CostCenter</t>
        </is>
      </c>
      <c r="C1" t="inlineStr" s="1">
        <is>
          <t>Account</t>
        </is>
      </c>
      <c r="D1" t="inlineStr" s="1">
        <is>
          <t>Forecast amount</t>
        </is>
      </c>
    </row>
    <row r="2">
      <c r="A2" t="inlineStr">
        <is>
          <t>FY26-P09</t>
        </is>
      </c>
      <c r="B2" t="inlineStr">
        <is>
          <t>CC-100</t>
        </is>
      </c>
      <c r="C2" t="inlineStr">
        <is>
          <t>5200</t>
        </is>
      </c>
      <c r="D2" s="4">
        <v>1500</v>
      </c>
    </row>
  </sheetData>
  <pageMargins left="0.7" right="0.7" top="0.75" bottom="0.75" header="0.3" footer="0.3"/>
</worksheet>
</file>